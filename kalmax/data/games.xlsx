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<sst xmlns="http://schemas.openxmlformats.org/spreadsheetml/2006/main" count="85" uniqueCount="85">
  <si>
    <t>Name</t>
  </si>
  <si>
    <t>Width</t>
  </si>
  <si>
    <t>Height</t>
  </si>
  <si>
    <t>The Few and Cursed</t>
  </si>
  <si>
    <t>Boss Monster</t>
  </si>
  <si>
    <t>Return to Dark Tower</t>
  </si>
  <si>
    <t>Happy Little Dinosaurs</t>
  </si>
  <si>
    <t>Clank!</t>
  </si>
  <si>
    <t>Ticket to Ride: New York</t>
  </si>
  <si>
    <t>Railroad Ink</t>
  </si>
  <si>
    <t>Captain's Wager</t>
  </si>
  <si>
    <t>Ticket to Ride</t>
  </si>
  <si>
    <t>Ticket to Ride: Rails and Sails</t>
  </si>
  <si>
    <t>Ticket to Ride: Northern Lights</t>
  </si>
  <si>
    <t>Stardew Valley</t>
  </si>
  <si>
    <t>Oe Night Ultimate Werewolf</t>
  </si>
  <si>
    <t>Donner Dinner Party</t>
  </si>
  <si>
    <t>The Fuzzies</t>
  </si>
  <si>
    <t>Blockbluster</t>
  </si>
  <si>
    <t>Marvel Codenames</t>
  </si>
  <si>
    <t>Secret Hitler</t>
  </si>
  <si>
    <t>Telestrations After Dark</t>
  </si>
  <si>
    <t>Wavelength</t>
  </si>
  <si>
    <t>Selfish</t>
  </si>
  <si>
    <t>Pandemic</t>
  </si>
  <si>
    <t>Star Wars: The Clone Wars</t>
  </si>
  <si>
    <t>Cuphead</t>
  </si>
  <si>
    <t>The Oregon Trail</t>
  </si>
  <si>
    <t>5-Minute Dungeon</t>
  </si>
  <si>
    <t>Kingdom Hearts</t>
  </si>
  <si>
    <t>Here to Slay</t>
  </si>
  <si>
    <t>Star Wars: Outer Rim</t>
  </si>
  <si>
    <t>The Night Cage</t>
  </si>
  <si>
    <t>Black Mold</t>
  </si>
  <si>
    <t>Bargain Quest</t>
  </si>
  <si>
    <t>Kabuto Sumo</t>
  </si>
  <si>
    <t>Dungeon Rush</t>
  </si>
  <si>
    <t>El Paso</t>
  </si>
  <si>
    <t>Dice Miner</t>
  </si>
  <si>
    <t>The Towers of Arkhanos</t>
  </si>
  <si>
    <t>Flamecraft</t>
  </si>
  <si>
    <t>Transmissions</t>
  </si>
  <si>
    <t>Brew</t>
  </si>
  <si>
    <t>Sheriff of Nottingham</t>
  </si>
  <si>
    <t>Fog of Love</t>
  </si>
  <si>
    <t>Summoner Wars</t>
  </si>
  <si>
    <t>Neon Reign</t>
  </si>
  <si>
    <t>Apollo</t>
  </si>
  <si>
    <t>Bottom of the 9th</t>
  </si>
  <si>
    <t>Next Station: Tokyo</t>
  </si>
  <si>
    <t>Costa Rica</t>
  </si>
  <si>
    <t>Castles of Mad King Ludwig</t>
  </si>
  <si>
    <t>Detective Club</t>
  </si>
  <si>
    <t>Dixit: Disney</t>
  </si>
  <si>
    <t>Stella</t>
  </si>
  <si>
    <t>For the King (and Me)</t>
  </si>
  <si>
    <t>Last Resort</t>
  </si>
  <si>
    <t>Trekking the World</t>
  </si>
  <si>
    <t>Garden Guests</t>
  </si>
  <si>
    <t>The Grimm Forest</t>
  </si>
  <si>
    <t>Seasons of Arcadia</t>
  </si>
  <si>
    <t>Forbidden Forest</t>
  </si>
  <si>
    <t>Fire Tower</t>
  </si>
  <si>
    <t>Ready Set Bet</t>
  </si>
  <si>
    <t>Roswell 51</t>
  </si>
  <si>
    <t>Don't Go In There</t>
  </si>
  <si>
    <t>Unmatched: Houdini vs The Genie</t>
  </si>
  <si>
    <t>Side Effects</t>
  </si>
  <si>
    <t>Hex Effects</t>
  </si>
  <si>
    <t>The Plot Thickens: Romance</t>
  </si>
  <si>
    <t>The Plot Thickens: Sci-Fi</t>
  </si>
  <si>
    <t>The Plot Thickens: Detective</t>
  </si>
  <si>
    <t>Mega Man</t>
  </si>
  <si>
    <t>Host Your Own Murder Mystery</t>
  </si>
  <si>
    <t>Godzilla</t>
  </si>
  <si>
    <t>Project L</t>
  </si>
  <si>
    <t>Aang's Destiny</t>
  </si>
  <si>
    <t>Cryo</t>
  </si>
  <si>
    <t>Hunt a Killer: Game Night Gone Wrong</t>
  </si>
  <si>
    <t>Ransom Notes</t>
  </si>
  <si>
    <t>NFL Strategy</t>
  </si>
  <si>
    <t>Happy Little Dinosaurs 5-6</t>
  </si>
  <si>
    <t>A Wild Venture</t>
  </si>
  <si>
    <t>The Oregon Trail: Hunting</t>
  </si>
  <si>
    <t>Bargain Quest: Black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</si>
</sst>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>
        <v>4.0</v>
      </c>
      <c r="C2" s="3">
        <f>9+7/8</f>
        <v>9.875</v>
      </c>
    </row>
    <row r="3">
      <c r="A3" s="1" t="s">
        <v>4</v>
      </c>
      <c r="B3" s="2">
        <v>5.0</v>
      </c>
      <c r="C3" s="3">
        <f>1 + 3/8</f>
        <v>1.375</v>
      </c>
    </row>
    <row r="4">
      <c r="A4" s="1" t="s">
        <v>5</v>
      </c>
      <c r="B4" s="2">
        <v>12.25</v>
      </c>
      <c r="C4" s="2">
        <v>6.25</v>
      </c>
    </row>
    <row r="5">
      <c r="A5" s="1" t="s">
        <v>6</v>
      </c>
      <c r="B5" s="3">
        <f> 5 + 13/16</f>
        <v>5.8125</v>
      </c>
      <c r="C5" s="3">
        <f>1 + 13/16</f>
        <v>1.8125</v>
      </c>
    </row>
    <row r="6">
      <c r="A6" s="1" t="s">
        <v>7</v>
      </c>
      <c r="B6" s="2">
        <v>12.25</v>
      </c>
      <c r="C6" s="3">
        <f>3 + 1/8</f>
        <v>3.125</v>
      </c>
    </row>
    <row r="7">
      <c r="A7" s="1" t="s">
        <v>8</v>
      </c>
      <c r="B7" s="3">
        <f>9+1/16</f>
        <v>9.0625</v>
      </c>
      <c r="C7" s="3">
        <f>1 + 13/16</f>
        <v>1.8125</v>
      </c>
    </row>
    <row r="8">
      <c r="A8" s="1" t="s">
        <v>9</v>
      </c>
      <c r="B8" s="2">
        <v>6.0</v>
      </c>
      <c r="C8" s="3">
        <f>1+5/8</f>
        <v>1.625</v>
      </c>
    </row>
    <row r="9">
      <c r="A9" s="1" t="s">
        <v>10</v>
      </c>
      <c r="B9" s="3">
        <f>4+3/16</f>
        <v>4.1875</v>
      </c>
      <c r="C9" s="3">
        <f>1+9/16</f>
        <v>1.5625</v>
      </c>
    </row>
    <row r="10">
      <c r="A10" s="1" t="s">
        <v>11</v>
      </c>
      <c r="B10" s="2">
        <v>11.75</v>
      </c>
      <c r="C10" s="3">
        <f>2+7/8</f>
        <v>2.875</v>
      </c>
    </row>
    <row r="11">
      <c r="A11" s="1" t="s">
        <v>12</v>
      </c>
      <c r="B11" s="2">
        <v>11.75</v>
      </c>
      <c r="C11" s="3">
        <f>4+1/16</f>
        <v>4.0625</v>
      </c>
    </row>
    <row r="12">
      <c r="A12" s="1" t="s">
        <v>13</v>
      </c>
      <c r="B12" s="2">
        <v>11.75</v>
      </c>
      <c r="C12" s="3">
        <f>2+13/16</f>
        <v>2.8125</v>
      </c>
    </row>
    <row r="13">
      <c r="A13" s="1" t="s">
        <v>14</v>
      </c>
      <c r="B13" s="3">
        <f>11+11/16</f>
        <v>11.6875</v>
      </c>
      <c r="C13" s="2">
        <v>3.25</v>
      </c>
    </row>
    <row r="14">
      <c r="A14" s="1" t="s">
        <v>15</v>
      </c>
      <c r="B14" s="2">
        <f>5+1/8</f>
        <v>5.125</v>
      </c>
      <c r="C14" s="2">
        <v>1.5</v>
      </c>
    </row>
    <row r="15">
      <c r="A15" s="1" t="s">
        <v>16</v>
      </c>
      <c r="B15" s="3">
        <f>5+5/8</f>
        <v>5.625</v>
      </c>
      <c r="C15" s="2">
        <v>1.75</v>
      </c>
    </row>
    <row r="16">
      <c r="A16" s="1" t="s">
        <v>17</v>
      </c>
      <c r="B16" s="3">
        <f>4+3/8</f>
        <v>4.375</v>
      </c>
      <c r="C16" s="2">
        <v>4.5</v>
      </c>
    </row>
    <row r="17">
      <c r="A17" s="1" t="s">
        <v>18</v>
      </c>
      <c r="B17" s="3">
        <f>1+9/16</f>
        <v>1.5625</v>
      </c>
      <c r="C17" s="3">
        <f>9+7/16</f>
        <v>9.4375</v>
      </c>
    </row>
    <row r="18">
      <c r="A18" s="1" t="s">
        <v>19</v>
      </c>
      <c r="B18" s="2">
        <v>6.25</v>
      </c>
      <c r="C18" s="2">
        <v>2.125</v>
      </c>
    </row>
    <row r="19">
      <c r="A19" s="1" t="s">
        <v>20</v>
      </c>
      <c r="B19" s="2">
        <v>6.0</v>
      </c>
      <c r="C19" s="3">
        <f>2+1/16</f>
        <v>2.0625</v>
      </c>
    </row>
    <row r="20">
      <c r="A20" s="1" t="s">
        <v>21</v>
      </c>
      <c r="B20" s="2">
        <v>10.0</v>
      </c>
      <c r="C20" s="2">
        <v>3.0</v>
      </c>
    </row>
    <row r="21">
      <c r="A21" s="1" t="s">
        <v>22</v>
      </c>
      <c r="B21" s="2">
        <v>10.5</v>
      </c>
      <c r="C21" s="2">
        <v>3.0</v>
      </c>
    </row>
    <row r="22">
      <c r="A22" s="1" t="s">
        <v>23</v>
      </c>
      <c r="B22" s="3">
        <f>8+3/16</f>
        <v>8.1875</v>
      </c>
      <c r="C22" s="2">
        <v>1.8125</v>
      </c>
    </row>
    <row r="23">
      <c r="A23" s="1" t="s">
        <v>24</v>
      </c>
      <c r="B23" s="2">
        <v>8.75</v>
      </c>
      <c r="C23" s="3">
        <f>1 + 13/16</f>
        <v>1.8125</v>
      </c>
    </row>
    <row r="24">
      <c r="A24" s="1" t="s">
        <v>25</v>
      </c>
      <c r="B24" s="3">
        <f>8+7/8</f>
        <v>8.875</v>
      </c>
      <c r="C24" s="2">
        <v>2.75</v>
      </c>
    </row>
    <row r="25">
      <c r="A25" s="1" t="s">
        <v>26</v>
      </c>
      <c r="B25" s="2">
        <v>9.0</v>
      </c>
      <c r="C25" s="2">
        <v>4.0</v>
      </c>
    </row>
    <row r="26">
      <c r="A26" s="1" t="s">
        <v>27</v>
      </c>
      <c r="B26" s="2">
        <v>5.25</v>
      </c>
      <c r="C26" s="2">
        <v>1.5</v>
      </c>
    </row>
    <row r="27">
      <c r="A27" s="1" t="s">
        <v>28</v>
      </c>
      <c r="B27" s="2">
        <v>10.5</v>
      </c>
      <c r="C27" s="3">
        <f>2+5/8</f>
        <v>2.625</v>
      </c>
    </row>
    <row r="28">
      <c r="A28" s="1" t="s">
        <v>29</v>
      </c>
      <c r="B28" s="2">
        <v>10.5</v>
      </c>
      <c r="C28" s="2">
        <v>2.75</v>
      </c>
    </row>
    <row r="29">
      <c r="A29" s="1" t="s">
        <v>30</v>
      </c>
      <c r="B29" s="2">
        <v>7.0</v>
      </c>
      <c r="C29" s="3">
        <f>1+5/8</f>
        <v>1.625</v>
      </c>
    </row>
    <row r="30">
      <c r="A30" s="1" t="s">
        <v>31</v>
      </c>
      <c r="B30" s="3">
        <f>11+5/8</f>
        <v>11.625</v>
      </c>
      <c r="C30" s="3">
        <f>2+7/8</f>
        <v>2.875</v>
      </c>
    </row>
    <row r="31">
      <c r="A31" s="1" t="s">
        <v>32</v>
      </c>
      <c r="B31" s="2">
        <v>3.0</v>
      </c>
      <c r="C31" s="2">
        <v>10.75</v>
      </c>
    </row>
    <row r="32">
      <c r="A32" s="1" t="s">
        <v>33</v>
      </c>
      <c r="B32" s="2">
        <v>11.125</v>
      </c>
      <c r="C32" s="3">
        <f>4+3/16</f>
        <v>4.1875</v>
      </c>
    </row>
    <row r="33">
      <c r="A33" s="1" t="s">
        <v>34</v>
      </c>
      <c r="B33" s="2">
        <v>11.0</v>
      </c>
      <c r="C33" s="2">
        <v>2.5</v>
      </c>
    </row>
    <row r="34">
      <c r="A34" s="1" t="s">
        <v>35</v>
      </c>
      <c r="B34" s="3">
        <f>6+13/16</f>
        <v>6.8125</v>
      </c>
      <c r="C34" s="3">
        <f>2+1/16</f>
        <v>2.0625</v>
      </c>
    </row>
    <row r="35">
      <c r="A35" s="1" t="s">
        <v>36</v>
      </c>
      <c r="B35" s="2">
        <v>5.0</v>
      </c>
      <c r="C35" s="2">
        <v>1.5</v>
      </c>
    </row>
    <row r="36">
      <c r="A36" s="1" t="s">
        <v>37</v>
      </c>
      <c r="B36" s="3">
        <f>7+7/16</f>
        <v>7.4375</v>
      </c>
      <c r="C36" s="2">
        <v>2.5</v>
      </c>
    </row>
    <row r="37">
      <c r="A37" s="1" t="s">
        <v>38</v>
      </c>
      <c r="B37" s="2">
        <v>8.0</v>
      </c>
      <c r="C37" s="2">
        <v>2.5</v>
      </c>
    </row>
    <row r="38">
      <c r="A38" s="1" t="s">
        <v>39</v>
      </c>
      <c r="B38" s="2">
        <v>9.25</v>
      </c>
      <c r="C38" s="3">
        <f t="shared" ref="C38:C39" si="1">2+7/8</f>
        <v>2.875</v>
      </c>
    </row>
    <row r="39">
      <c r="A39" s="1" t="s">
        <v>40</v>
      </c>
      <c r="B39" s="2">
        <v>11.75</v>
      </c>
      <c r="C39" s="3">
        <f t="shared" si="1"/>
        <v>2.875</v>
      </c>
    </row>
    <row r="40">
      <c r="A40" s="1" t="s">
        <v>41</v>
      </c>
      <c r="B40" s="3">
        <f>11+7/8</f>
        <v>11.875</v>
      </c>
      <c r="C40" s="2">
        <v>3.0</v>
      </c>
    </row>
    <row r="41">
      <c r="A41" s="1" t="s">
        <v>42</v>
      </c>
      <c r="B41" s="2">
        <v>9.25</v>
      </c>
      <c r="C41" s="3">
        <f>2+13/16</f>
        <v>2.8125</v>
      </c>
    </row>
    <row r="42">
      <c r="A42" s="1" t="s">
        <v>43</v>
      </c>
      <c r="B42" s="2">
        <v>10.0</v>
      </c>
      <c r="C42" s="2">
        <v>3.125</v>
      </c>
    </row>
    <row r="43">
      <c r="A43" s="1" t="s">
        <v>44</v>
      </c>
      <c r="B43" s="2">
        <v>11.75</v>
      </c>
      <c r="C43" s="3">
        <f>3+5/16</f>
        <v>3.3125</v>
      </c>
    </row>
    <row r="44">
      <c r="A44" s="1" t="s">
        <v>45</v>
      </c>
      <c r="B44" s="2">
        <v>10.0</v>
      </c>
      <c r="C44" s="2">
        <v>2.0</v>
      </c>
    </row>
    <row r="45">
      <c r="A45" s="1" t="s">
        <v>46</v>
      </c>
      <c r="B45" s="3">
        <f>5+5/16</f>
        <v>5.3125</v>
      </c>
      <c r="C45" s="3">
        <f>1 + 13/16</f>
        <v>1.8125</v>
      </c>
    </row>
    <row r="46">
      <c r="A46" s="1" t="s">
        <v>47</v>
      </c>
      <c r="B46" s="2">
        <v>10.5</v>
      </c>
      <c r="C46" s="3">
        <f>2+5/8</f>
        <v>2.625</v>
      </c>
    </row>
    <row r="47">
      <c r="A47" s="1" t="s">
        <v>48</v>
      </c>
      <c r="B47" s="3">
        <f>3+15/16</f>
        <v>3.9375</v>
      </c>
      <c r="C47" s="2">
        <v>1.125</v>
      </c>
    </row>
    <row r="48">
      <c r="A48" s="1" t="s">
        <v>49</v>
      </c>
      <c r="B48" s="3">
        <f>1+9/16</f>
        <v>1.5625</v>
      </c>
      <c r="C48" s="2">
        <v>7.125</v>
      </c>
    </row>
    <row r="49">
      <c r="A49" s="1" t="s">
        <v>50</v>
      </c>
      <c r="B49" s="2">
        <v>7.5</v>
      </c>
      <c r="C49" s="3">
        <f>2+5/8</f>
        <v>2.625</v>
      </c>
    </row>
    <row r="50">
      <c r="A50" s="1" t="s">
        <v>51</v>
      </c>
      <c r="B50" s="3">
        <f>11+7/8</f>
        <v>11.875</v>
      </c>
      <c r="C50" s="3">
        <f>2.875</f>
        <v>2.875</v>
      </c>
    </row>
    <row r="51">
      <c r="A51" s="1" t="s">
        <v>52</v>
      </c>
      <c r="B51" s="2">
        <v>10.5</v>
      </c>
      <c r="C51" s="2">
        <v>3.0</v>
      </c>
    </row>
    <row r="52">
      <c r="A52" s="1" t="s">
        <v>53</v>
      </c>
      <c r="B52" s="3">
        <f t="shared" ref="B52:B53" si="2">10+7/8</f>
        <v>10.875</v>
      </c>
      <c r="C52" s="3">
        <f t="shared" ref="C52:C53" si="3">2+3/16</f>
        <v>2.1875</v>
      </c>
    </row>
    <row r="53">
      <c r="A53" s="1" t="s">
        <v>54</v>
      </c>
      <c r="B53" s="3">
        <f t="shared" si="2"/>
        <v>10.875</v>
      </c>
      <c r="C53" s="3">
        <f t="shared" si="3"/>
        <v>2.1875</v>
      </c>
    </row>
    <row r="54">
      <c r="A54" s="1" t="s">
        <v>55</v>
      </c>
      <c r="B54" s="2">
        <v>8.125</v>
      </c>
      <c r="C54" s="3">
        <f>1+7/8</f>
        <v>1.875</v>
      </c>
    </row>
    <row r="55">
      <c r="A55" s="1" t="s">
        <v>56</v>
      </c>
      <c r="B55" s="2">
        <v>12.25</v>
      </c>
      <c r="C55" s="3">
        <f>2+3/16</f>
        <v>2.1875</v>
      </c>
    </row>
    <row r="56">
      <c r="A56" s="1" t="s">
        <v>57</v>
      </c>
      <c r="B56" s="2">
        <f t="shared" ref="B56:B57" si="4">11+5/8</f>
        <v>11.625</v>
      </c>
      <c r="C56" s="2">
        <v>2.75</v>
      </c>
    </row>
    <row r="57">
      <c r="A57" s="1" t="s">
        <v>58</v>
      </c>
      <c r="B57" s="3">
        <f t="shared" si="4"/>
        <v>11.625</v>
      </c>
      <c r="C57" s="2">
        <v>3.0</v>
      </c>
    </row>
    <row r="58">
      <c r="A58" s="1" t="s">
        <v>59</v>
      </c>
      <c r="B58" s="3">
        <f>12+13/16</f>
        <v>12.8125</v>
      </c>
      <c r="C58" s="2">
        <v>3.5</v>
      </c>
    </row>
    <row r="59">
      <c r="A59" s="1" t="s">
        <v>60</v>
      </c>
      <c r="B59" s="3">
        <f>2+7/8</f>
        <v>2.875</v>
      </c>
      <c r="C59" s="2">
        <v>8.25</v>
      </c>
    </row>
    <row r="60">
      <c r="A60" s="1" t="s">
        <v>61</v>
      </c>
      <c r="B60" s="2">
        <v>8.5</v>
      </c>
      <c r="C60" s="2">
        <v>3.0</v>
      </c>
    </row>
    <row r="61">
      <c r="A61" s="1" t="s">
        <v>62</v>
      </c>
      <c r="B61" s="3">
        <f>9+1/16</f>
        <v>9.0625</v>
      </c>
      <c r="C61" s="2">
        <v>3.125</v>
      </c>
    </row>
    <row r="62">
      <c r="A62" s="1" t="s">
        <v>63</v>
      </c>
      <c r="B62" s="2">
        <v>2.75</v>
      </c>
      <c r="C62" s="3">
        <f>9+7/16</f>
        <v>9.4375</v>
      </c>
    </row>
    <row r="63">
      <c r="A63" s="1" t="s">
        <v>64</v>
      </c>
      <c r="B63" s="3">
        <f>10+9/16</f>
        <v>10.5625</v>
      </c>
      <c r="C63" s="3">
        <f>2+11/16</f>
        <v>2.6875</v>
      </c>
    </row>
    <row r="64">
      <c r="A64" s="1" t="s">
        <v>65</v>
      </c>
      <c r="B64" s="3">
        <f>4+7/8</f>
        <v>4.875</v>
      </c>
      <c r="C64" s="3">
        <f>3+3/8</f>
        <v>3.375</v>
      </c>
    </row>
    <row r="65">
      <c r="A65" s="1" t="s">
        <v>66</v>
      </c>
      <c r="B65" s="3">
        <f>2+11/16</f>
        <v>2.6875</v>
      </c>
      <c r="C65" s="2">
        <v>9.625</v>
      </c>
    </row>
    <row r="66">
      <c r="A66" s="1" t="s">
        <v>67</v>
      </c>
      <c r="B66" s="3">
        <f t="shared" ref="B66:B67" si="5">5+5/16</f>
        <v>5.3125</v>
      </c>
      <c r="C66" s="2">
        <v>1.75</v>
      </c>
    </row>
    <row r="67">
      <c r="A67" s="1" t="s">
        <v>68</v>
      </c>
      <c r="B67" s="3">
        <f t="shared" si="5"/>
        <v>5.3125</v>
      </c>
      <c r="C67" s="2">
        <v>1.75</v>
      </c>
    </row>
    <row r="68">
      <c r="A68" s="1" t="s">
        <v>69</v>
      </c>
      <c r="B68" s="2">
        <v>1.75</v>
      </c>
      <c r="C68" s="3">
        <f t="shared" ref="C68:C70" si="6">8+5/8</f>
        <v>8.625</v>
      </c>
    </row>
    <row r="69">
      <c r="A69" s="1" t="s">
        <v>70</v>
      </c>
      <c r="B69" s="2">
        <v>1.75</v>
      </c>
      <c r="C69" s="3">
        <f t="shared" si="6"/>
        <v>8.625</v>
      </c>
    </row>
    <row r="70">
      <c r="A70" s="1" t="s">
        <v>71</v>
      </c>
      <c r="B70" s="2">
        <v>1.75</v>
      </c>
      <c r="C70" s="3">
        <f t="shared" si="6"/>
        <v>8.625</v>
      </c>
    </row>
    <row r="71">
      <c r="A71" s="1" t="s">
        <v>72</v>
      </c>
      <c r="B71" s="2">
        <v>6.125</v>
      </c>
      <c r="C71" s="3">
        <f>4+9/16</f>
        <v>4.5625</v>
      </c>
    </row>
    <row r="72">
      <c r="A72" s="1" t="s">
        <v>73</v>
      </c>
      <c r="B72" s="3">
        <f>10+3/8</f>
        <v>10.375</v>
      </c>
      <c r="C72" s="2">
        <v>2.375</v>
      </c>
    </row>
    <row r="73">
      <c r="A73" s="1" t="s">
        <v>74</v>
      </c>
      <c r="B73" s="2">
        <v>2.5</v>
      </c>
      <c r="C73" s="2">
        <v>10.5</v>
      </c>
    </row>
    <row r="74">
      <c r="A74" s="1" t="s">
        <v>75</v>
      </c>
      <c r="B74" s="2">
        <v>8.5</v>
      </c>
      <c r="C74" s="3">
        <f>2+3/16</f>
        <v>2.1875</v>
      </c>
    </row>
    <row r="75">
      <c r="A75" s="1" t="s">
        <v>76</v>
      </c>
      <c r="B75" s="2">
        <v>4.0</v>
      </c>
      <c r="C75" s="2">
        <v>9.0</v>
      </c>
    </row>
    <row r="76">
      <c r="A76" s="1" t="s">
        <v>77</v>
      </c>
      <c r="B76" s="3">
        <f>8+15/16</f>
        <v>8.9375</v>
      </c>
      <c r="C76" s="3">
        <f>2+13/16</f>
        <v>2.8125</v>
      </c>
    </row>
    <row r="77">
      <c r="A77" s="1" t="s">
        <v>78</v>
      </c>
      <c r="B77" s="2">
        <v>10.5</v>
      </c>
      <c r="C77" s="2">
        <v>2.0</v>
      </c>
    </row>
    <row r="78">
      <c r="A78" s="1" t="s">
        <v>79</v>
      </c>
      <c r="B78" s="2">
        <v>5.75</v>
      </c>
      <c r="C78" s="3">
        <f>3+3/8</f>
        <v>3.375</v>
      </c>
    </row>
    <row r="79">
      <c r="A79" s="1" t="s">
        <v>80</v>
      </c>
      <c r="B79" s="2">
        <v>9.125</v>
      </c>
      <c r="C79" s="2">
        <v>2.0</v>
      </c>
    </row>
    <row r="80">
      <c r="A80" s="1" t="s">
        <v>81</v>
      </c>
      <c r="B80" s="3">
        <f> 5 + 13/16</f>
        <v>5.8125</v>
      </c>
      <c r="C80" s="2">
        <v>1.125</v>
      </c>
    </row>
    <row r="81">
      <c r="A81" s="1" t="s">
        <v>82</v>
      </c>
      <c r="B81" s="3">
        <f>7+1/16</f>
        <v>7.0625</v>
      </c>
      <c r="C81" s="2">
        <v>2.0</v>
      </c>
    </row>
    <row r="82">
      <c r="A82" s="1" t="s">
        <v>83</v>
      </c>
      <c r="B82" s="2">
        <v>5.25</v>
      </c>
      <c r="C82" s="2">
        <v>1.5</v>
      </c>
    </row>
    <row r="83">
      <c r="A83" s="1" t="s">
        <v>84</v>
      </c>
      <c r="B83" s="2">
        <v>8.0</v>
      </c>
      <c r="C83" s="3">
        <f>1+9/16</f>
        <v>1.5625</v>
      </c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